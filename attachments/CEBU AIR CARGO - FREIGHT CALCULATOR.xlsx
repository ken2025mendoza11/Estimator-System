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3energy-my.sharepoint.com/personal/reina_dequino_sy3_com_ph/Documents/REIN FILES/Request for Payment/2026/"/>
    </mc:Choice>
  </mc:AlternateContent>
  <xr:revisionPtr revIDLastSave="0" documentId="8_{4EDDF6BE-E6D0-4AFF-9F1C-95FA7C5D3EDA}" xr6:coauthVersionLast="47" xr6:coauthVersionMax="47" xr10:uidLastSave="{00000000-0000-0000-0000-000000000000}"/>
  <bookViews>
    <workbookView xWindow="-108" yWindow="-108" windowWidth="23256" windowHeight="12456" xr2:uid="{59FAE93E-0CAE-4DC5-AD99-A7C85AD57A47}"/>
  </bookViews>
  <sheets>
    <sheet name="Sheet1" sheetId="1" r:id="rId1"/>
  </sheets>
  <externalReferences>
    <externalReference r:id="rId2"/>
    <externalReference r:id="rId3"/>
  </externalReferences>
  <definedNames>
    <definedName name="asda">#REF!</definedName>
    <definedName name="BACK">#REF!</definedName>
    <definedName name="Display_Week">#REF!</definedName>
    <definedName name="jjj">#REF!</definedName>
    <definedName name="Milestone_Marker">[2]Gantt!$E$4</definedName>
    <definedName name="Project_Start">#REF!</definedName>
    <definedName name="Scrolling_Increment">[2]Gantt!$E$3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8" i="1"/>
  <c r="B12" i="1" s="1"/>
  <c r="B14" i="1" l="1"/>
  <c r="B15" i="1" l="1"/>
  <c r="B16" i="1" s="1"/>
</calcChain>
</file>

<file path=xl/sharedStrings.xml><?xml version="1.0" encoding="utf-8"?>
<sst xmlns="http://schemas.openxmlformats.org/spreadsheetml/2006/main" count="16" uniqueCount="16">
  <si>
    <t>CEBU AIR CARGO - FREIGHT CALCULATOR</t>
  </si>
  <si>
    <t>Note: This is the Weight and Dimension of the Packaging, not the actual item/s.</t>
  </si>
  <si>
    <t>WEIGHT CHARGE:</t>
  </si>
  <si>
    <t>**OTHER CHARGES:</t>
  </si>
  <si>
    <t>VAT (12%):</t>
  </si>
  <si>
    <t>EST. TOTAL AMOUNT:</t>
  </si>
  <si>
    <t>GROSS WEIGHT (KG):</t>
  </si>
  <si>
    <t>LENGTH (CM):</t>
  </si>
  <si>
    <t>WIDTH (CM):</t>
  </si>
  <si>
    <t>HEIGHT (CM):</t>
  </si>
  <si>
    <t>VOLUMETRIC WEIGHT (KG):</t>
  </si>
  <si>
    <t>DECLARED VALUE (PHP):</t>
  </si>
  <si>
    <t>Input only on yellow tab</t>
  </si>
  <si>
    <t>RATE: PHP 65.00/KG</t>
  </si>
  <si>
    <t>VALUATION CHARGE (1% OF DV):</t>
  </si>
  <si>
    <t>**Other charges are determined by Ceb Pac Checker, we use additional 10% of WC and VC in default (estimate only)
Note: Actual Amount will vary on the actual weight upon acceptance at Ceb Pac Receiving Warehouse
Recommendation: Upon Request of Payment, please add 25% of the estimated cost, to avoid shortage on budget.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</si>
</sst>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₱-3409]* #,##0.00_-;\-[$₱-3409]* #,##0.00_-;_-[$₱-3409]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2" fillId="2" borderId="5" xfId="0" applyFont="1" applyFill="1" applyBorder="1"/>
    <xf numFmtId="164" fontId="0" fillId="3" borderId="1" xfId="0" applyNumberFormat="1" applyFill="1" applyBorder="1"/>
    <xf numFmtId="0" fontId="4" fillId="2" borderId="10" xfId="0" applyFont="1" applyFill="1" applyBorder="1" applyAlignment="1">
      <alignment horizontal="center" vertical="center" wrapText="1"/>
    </xf>
    <xf numFmtId="2" fontId="0" fillId="4" borderId="1" xfId="0" applyNumberFormat="1" applyFill="1" applyBorder="1"/>
    <xf numFmtId="164" fontId="0" fillId="4" borderId="1" xfId="0" applyNumberFormat="1" applyFill="1" applyBorder="1"/>
    <xf numFmtId="0" fontId="0" fillId="2" borderId="6" xfId="0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43" fontId="0" fillId="3" borderId="1" xfId="1" applyFont="1" applyFill="1" applyBorder="1"/>
    <xf numFmtId="0" fontId="4" fillId="2" borderId="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FP%20AIR%20CARGO%20-%20GNPK/RFP%20FOR%20AIR%20CARGO%20-%20GNP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\Desktop\ISO\gantt%20ch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 DP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Schedule"/>
      <sheetName val="About"/>
      <sheetName val="Gantt"/>
      <sheetName val="Relative Departments Table"/>
      <sheetName val="SUMMARY LIST"/>
      <sheetName val="Forms LIST"/>
      <sheetName val="Department Line-up"/>
    </sheetNames>
    <sheetDataSet>
      <sheetData sheetId="0" refreshError="1"/>
      <sheetData sheetId="1" refreshError="1"/>
      <sheetData sheetId="2" refreshError="1">
        <row r="3">
          <cell r="E3">
            <v>0</v>
          </cell>
        </row>
        <row r="4">
          <cell r="E4">
            <v>2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C34F-6138-4165-9516-83B908DE430E}">
  <dimension ref="A1:E19"/>
  <sheetViews>
    <sheetView showGridLines="0" tabSelected="1" view="pageBreakPreview" zoomScale="145" zoomScaleNormal="100" zoomScaleSheetLayoutView="145" workbookViewId="0">
      <selection activeCell="F5" sqref="F5"/>
    </sheetView>
  </sheetViews>
  <sheetFormatPr defaultRowHeight="14.4" x14ac:dyDescent="0.3"/>
  <cols>
    <col min="1" max="1" width="29.5546875" customWidth="1"/>
    <col min="2" max="2" width="17.109375" customWidth="1"/>
    <col min="5" max="5" width="5" customWidth="1"/>
  </cols>
  <sheetData>
    <row r="1" spans="1:5" ht="21" x14ac:dyDescent="0.4">
      <c r="A1" s="1" t="s">
        <v>0</v>
      </c>
      <c r="B1" s="2"/>
      <c r="C1" s="2"/>
      <c r="D1" s="2"/>
      <c r="E1" s="3"/>
    </row>
    <row r="2" spans="1:5" x14ac:dyDescent="0.3">
      <c r="A2" s="4"/>
      <c r="B2" s="5"/>
      <c r="C2" s="5"/>
      <c r="D2" s="5"/>
      <c r="E2" s="6"/>
    </row>
    <row r="3" spans="1:5" ht="23.4" customHeight="1" x14ac:dyDescent="0.3">
      <c r="A3" s="16" t="s">
        <v>1</v>
      </c>
      <c r="B3" s="17"/>
      <c r="C3" s="17"/>
      <c r="D3" s="17"/>
      <c r="E3" s="18"/>
    </row>
    <row r="4" spans="1:5" x14ac:dyDescent="0.3">
      <c r="A4" s="7" t="s">
        <v>6</v>
      </c>
      <c r="B4" s="21">
        <v>160</v>
      </c>
      <c r="C4" s="9" t="s">
        <v>12</v>
      </c>
      <c r="D4" s="5"/>
      <c r="E4" s="6"/>
    </row>
    <row r="5" spans="1:5" x14ac:dyDescent="0.3">
      <c r="A5" s="7" t="s">
        <v>7</v>
      </c>
      <c r="B5" s="21">
        <v>101</v>
      </c>
      <c r="C5" s="9"/>
      <c r="D5" s="5"/>
      <c r="E5" s="6"/>
    </row>
    <row r="6" spans="1:5" x14ac:dyDescent="0.3">
      <c r="A6" s="7" t="s">
        <v>8</v>
      </c>
      <c r="B6" s="21">
        <v>50</v>
      </c>
      <c r="C6" s="9"/>
      <c r="D6" s="5"/>
      <c r="E6" s="6"/>
    </row>
    <row r="7" spans="1:5" x14ac:dyDescent="0.3">
      <c r="A7" s="7" t="s">
        <v>9</v>
      </c>
      <c r="B7" s="21">
        <v>57</v>
      </c>
      <c r="C7" s="9"/>
      <c r="D7" s="5"/>
      <c r="E7" s="6"/>
    </row>
    <row r="8" spans="1:5" x14ac:dyDescent="0.3">
      <c r="A8" s="7" t="s">
        <v>10</v>
      </c>
      <c r="B8" s="10">
        <f>(B5*B6*B7)/6000</f>
        <v>47.975000000000001</v>
      </c>
      <c r="C8" s="9"/>
      <c r="D8" s="5"/>
      <c r="E8" s="6"/>
    </row>
    <row r="9" spans="1:5" x14ac:dyDescent="0.3">
      <c r="A9" s="7" t="s">
        <v>11</v>
      </c>
      <c r="B9" s="8">
        <v>100000</v>
      </c>
      <c r="C9" s="9"/>
      <c r="D9" s="5"/>
      <c r="E9" s="6"/>
    </row>
    <row r="10" spans="1:5" x14ac:dyDescent="0.3">
      <c r="A10" s="4"/>
      <c r="B10" s="5"/>
      <c r="C10" s="5"/>
      <c r="D10" s="5"/>
      <c r="E10" s="6"/>
    </row>
    <row r="11" spans="1:5" x14ac:dyDescent="0.3">
      <c r="A11" s="4"/>
      <c r="B11" s="5"/>
      <c r="C11" s="5"/>
      <c r="D11" s="5"/>
      <c r="E11" s="6"/>
    </row>
    <row r="12" spans="1:5" x14ac:dyDescent="0.3">
      <c r="A12" s="7" t="s">
        <v>2</v>
      </c>
      <c r="B12" s="11">
        <f>IF(B4&gt;B8,B4*65,B8*65)</f>
        <v>10400</v>
      </c>
      <c r="C12" s="22" t="s">
        <v>13</v>
      </c>
      <c r="D12" s="5"/>
      <c r="E12" s="6"/>
    </row>
    <row r="13" spans="1:5" x14ac:dyDescent="0.3">
      <c r="A13" s="7" t="s">
        <v>14</v>
      </c>
      <c r="B13" s="11">
        <f>B9*0.01</f>
        <v>1000</v>
      </c>
      <c r="C13" s="5"/>
      <c r="D13" s="5"/>
      <c r="E13" s="6"/>
    </row>
    <row r="14" spans="1:5" x14ac:dyDescent="0.3">
      <c r="A14" s="7" t="s">
        <v>3</v>
      </c>
      <c r="B14" s="11">
        <f>SUM(B12:B13)*0.1</f>
        <v>1140</v>
      </c>
      <c r="C14" s="5"/>
      <c r="D14" s="5"/>
      <c r="E14" s="6"/>
    </row>
    <row r="15" spans="1:5" x14ac:dyDescent="0.3">
      <c r="A15" s="7" t="s">
        <v>4</v>
      </c>
      <c r="B15" s="11">
        <f>SUM(B12:B14)*0.12</f>
        <v>1504.8</v>
      </c>
      <c r="C15" s="5"/>
      <c r="D15" s="5"/>
      <c r="E15" s="6"/>
    </row>
    <row r="16" spans="1:5" x14ac:dyDescent="0.3">
      <c r="A16" s="7" t="s">
        <v>5</v>
      </c>
      <c r="B16" s="11">
        <f>SUM(B12:B15)</f>
        <v>14044.8</v>
      </c>
      <c r="C16" s="5"/>
      <c r="D16" s="5"/>
      <c r="E16" s="6"/>
    </row>
    <row r="17" spans="1:5" x14ac:dyDescent="0.3">
      <c r="A17" s="7"/>
      <c r="B17" s="5"/>
      <c r="C17" s="5"/>
      <c r="D17" s="5"/>
      <c r="E17" s="6"/>
    </row>
    <row r="18" spans="1:5" ht="61.2" customHeight="1" x14ac:dyDescent="0.3">
      <c r="A18" s="19" t="s">
        <v>15</v>
      </c>
      <c r="B18" s="20"/>
      <c r="C18" s="20"/>
      <c r="D18" s="20"/>
      <c r="E18" s="12"/>
    </row>
    <row r="19" spans="1:5" ht="15" thickBot="1" x14ac:dyDescent="0.35">
      <c r="A19" s="13"/>
      <c r="B19" s="14"/>
      <c r="C19" s="14"/>
      <c r="D19" s="14"/>
      <c r="E19" s="15"/>
    </row>
  </sheetData>
  <mergeCells count="4">
    <mergeCell ref="A1:E1"/>
    <mergeCell ref="A3:E3"/>
    <mergeCell ref="C4:C9"/>
    <mergeCell ref="A18:D1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SHIC</dc:creator>
  <cp:lastModifiedBy>SHIC</cp:lastModifiedBy>
  <dcterms:created xsi:type="dcterms:W3CDTF">2026-07-29T03:40:03Z</dcterms:created>
  <dcterms:modified xsi:type="dcterms:W3CDTF">2026-07-29T03:55:33Z</dcterms:modified>
</cp:coreProperties>
</file>